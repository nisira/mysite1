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5" windowWidth="21420" windowHeight="8325" activeTab="6"/>
  </bookViews>
  <sheets>
    <sheet name="文字列ワークシート関数1" sheetId="1" r:id="rId1"/>
    <sheet name="入力1" sheetId="2" r:id="rId2"/>
    <sheet name="変換1" sheetId="3" r:id="rId3"/>
    <sheet name="出力1" sheetId="4" r:id="rId4"/>
    <sheet name="Sheet2" sheetId="5" r:id="rId5"/>
    <sheet name="Sheet1" sheetId="6" r:id="rId6"/>
    <sheet name="Sheet3" sheetId="7" r:id="rId7"/>
  </sheets>
  <calcPr calcId="145621"/>
</workbook>
</file>

<file path=xl/calcChain.xml><?xml version="1.0" encoding="utf-8"?>
<calcChain xmlns="http://schemas.openxmlformats.org/spreadsheetml/2006/main">
  <c r="H19" i="6" l="1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G9" i="4" l="1"/>
  <c r="F9" i="4"/>
  <c r="E9" i="4"/>
  <c r="D9" i="4"/>
  <c r="C9" i="4"/>
  <c r="B9" i="4"/>
  <c r="G12" i="4"/>
  <c r="F12" i="4"/>
  <c r="E12" i="4"/>
  <c r="D12" i="4"/>
  <c r="C12" i="4"/>
  <c r="B12" i="4"/>
  <c r="G7" i="4"/>
  <c r="F7" i="4"/>
  <c r="E7" i="4"/>
  <c r="D7" i="4"/>
  <c r="C7" i="4"/>
  <c r="B7" i="4"/>
  <c r="G5" i="4"/>
  <c r="F5" i="4"/>
  <c r="E5" i="4"/>
  <c r="D5" i="4"/>
  <c r="C5" i="4"/>
  <c r="B5" i="4"/>
  <c r="G15" i="4"/>
  <c r="F15" i="4"/>
  <c r="E15" i="4"/>
  <c r="D15" i="4"/>
  <c r="C15" i="4"/>
  <c r="B15" i="4"/>
  <c r="G13" i="4"/>
  <c r="F13" i="4"/>
  <c r="E13" i="4"/>
  <c r="D13" i="4"/>
  <c r="C13" i="4"/>
  <c r="B13" i="4"/>
  <c r="G8" i="4"/>
  <c r="F8" i="4"/>
  <c r="E8" i="4"/>
  <c r="D8" i="4"/>
  <c r="C8" i="4"/>
  <c r="B8" i="4"/>
  <c r="G3" i="4"/>
  <c r="F3" i="4"/>
  <c r="E3" i="4"/>
  <c r="D3" i="4"/>
  <c r="C3" i="4"/>
  <c r="B3" i="4"/>
  <c r="G6" i="4"/>
  <c r="F6" i="4"/>
  <c r="E6" i="4"/>
  <c r="D6" i="4"/>
  <c r="C6" i="4"/>
  <c r="B6" i="4"/>
  <c r="G4" i="4"/>
  <c r="F4" i="4"/>
  <c r="E4" i="4"/>
  <c r="D4" i="4"/>
  <c r="C4" i="4"/>
  <c r="B4" i="4"/>
  <c r="G11" i="4"/>
  <c r="F11" i="4"/>
  <c r="E11" i="4"/>
  <c r="D11" i="4"/>
  <c r="C11" i="4"/>
  <c r="B11" i="4"/>
  <c r="G14" i="4"/>
  <c r="F14" i="4"/>
  <c r="E14" i="4"/>
  <c r="D14" i="4"/>
  <c r="C14" i="4"/>
  <c r="B14" i="4"/>
  <c r="G10" i="4"/>
  <c r="F10" i="4"/>
  <c r="E10" i="4"/>
  <c r="D10" i="4"/>
  <c r="C10" i="4"/>
  <c r="B10" i="4"/>
  <c r="G15" i="3"/>
  <c r="F15" i="3"/>
  <c r="E15" i="3"/>
  <c r="D15" i="3"/>
  <c r="C15" i="3"/>
  <c r="B15" i="3"/>
  <c r="G14" i="3"/>
  <c r="F14" i="3"/>
  <c r="E14" i="3"/>
  <c r="D14" i="3"/>
  <c r="C14" i="3"/>
  <c r="B14" i="3"/>
  <c r="G13" i="3"/>
  <c r="F13" i="3"/>
  <c r="E13" i="3"/>
  <c r="D13" i="3"/>
  <c r="C13" i="3"/>
  <c r="B13" i="3"/>
  <c r="G12" i="3"/>
  <c r="F12" i="3"/>
  <c r="E12" i="3"/>
  <c r="D12" i="3"/>
  <c r="C12" i="3"/>
  <c r="B12" i="3"/>
  <c r="G11" i="3"/>
  <c r="F11" i="3"/>
  <c r="E11" i="3"/>
  <c r="D11" i="3"/>
  <c r="C11" i="3"/>
  <c r="B11" i="3"/>
  <c r="G10" i="3"/>
  <c r="F10" i="3"/>
  <c r="E10" i="3"/>
  <c r="D10" i="3"/>
  <c r="C10" i="3"/>
  <c r="B10" i="3"/>
  <c r="G9" i="3"/>
  <c r="F9" i="3"/>
  <c r="E9" i="3"/>
  <c r="D9" i="3"/>
  <c r="C9" i="3"/>
  <c r="B9" i="3"/>
  <c r="G8" i="3"/>
  <c r="F8" i="3"/>
  <c r="E8" i="3"/>
  <c r="D8" i="3"/>
  <c r="C8" i="3"/>
  <c r="B8" i="3"/>
  <c r="G7" i="3"/>
  <c r="F7" i="3"/>
  <c r="E7" i="3"/>
  <c r="D7" i="3"/>
  <c r="C7" i="3"/>
  <c r="B7" i="3"/>
  <c r="G6" i="3"/>
  <c r="F6" i="3"/>
  <c r="E6" i="3"/>
  <c r="D6" i="3"/>
  <c r="C6" i="3"/>
  <c r="B6" i="3"/>
  <c r="G5" i="3"/>
  <c r="F5" i="3"/>
  <c r="E5" i="3"/>
  <c r="D5" i="3"/>
  <c r="C5" i="3"/>
  <c r="B5" i="3"/>
  <c r="G4" i="3"/>
  <c r="F4" i="3"/>
  <c r="E4" i="3"/>
  <c r="D4" i="3"/>
  <c r="C4" i="3"/>
  <c r="B4" i="3"/>
  <c r="G3" i="3"/>
  <c r="F3" i="3"/>
  <c r="E3" i="3"/>
  <c r="D3" i="3"/>
  <c r="C3" i="3"/>
  <c r="B3" i="3"/>
  <c r="J10" i="1" l="1"/>
  <c r="J8" i="1"/>
  <c r="J12" i="1"/>
  <c r="J7" i="1"/>
  <c r="J11" i="1"/>
  <c r="J9" i="1"/>
  <c r="J6" i="1"/>
  <c r="J5" i="1"/>
</calcChain>
</file>

<file path=xl/sharedStrings.xml><?xml version="1.0" encoding="utf-8"?>
<sst xmlns="http://schemas.openxmlformats.org/spreadsheetml/2006/main" count="83" uniqueCount="39">
  <si>
    <t xml:space="preserve">  this is a   pen  </t>
    <phoneticPr fontId="1"/>
  </si>
  <si>
    <t>ラベル</t>
    <phoneticPr fontId="1"/>
  </si>
  <si>
    <t>グループ1</t>
    <phoneticPr fontId="1"/>
  </si>
  <si>
    <t>グループ2</t>
    <phoneticPr fontId="1"/>
  </si>
  <si>
    <t>グループ3</t>
    <phoneticPr fontId="1"/>
  </si>
  <si>
    <t>グループ4</t>
    <phoneticPr fontId="1"/>
  </si>
  <si>
    <t>グループ5</t>
    <phoneticPr fontId="1"/>
  </si>
  <si>
    <t>LD60DA</t>
  </si>
  <si>
    <t>LD60DA</t>
    <phoneticPr fontId="1"/>
  </si>
  <si>
    <t>設定</t>
    <rPh sb="0" eb="2">
      <t>セッテイ</t>
    </rPh>
    <phoneticPr fontId="1"/>
  </si>
  <si>
    <t>モニタ</t>
    <phoneticPr fontId="1"/>
  </si>
  <si>
    <t>制御</t>
    <rPh sb="0" eb="2">
      <t>セイギョ</t>
    </rPh>
    <phoneticPr fontId="1"/>
  </si>
  <si>
    <t>入出力信号</t>
    <rPh sb="0" eb="2">
      <t>ニュウシュツ</t>
    </rPh>
    <rPh sb="2" eb="3">
      <t>リキ</t>
    </rPh>
    <rPh sb="3" eb="5">
      <t>シンゴウ</t>
    </rPh>
    <phoneticPr fontId="1"/>
  </si>
  <si>
    <t>入力</t>
    <rPh sb="0" eb="2">
      <t>ニュウリョク</t>
    </rPh>
    <phoneticPr fontId="1"/>
  </si>
  <si>
    <t>出力</t>
    <rPh sb="0" eb="2">
      <t>シュツリョク</t>
    </rPh>
    <phoneticPr fontId="1"/>
  </si>
  <si>
    <t>ダイレクト</t>
  </si>
  <si>
    <t>ダイレクト</t>
    <phoneticPr fontId="1"/>
  </si>
  <si>
    <t>ダイレクト</t>
    <phoneticPr fontId="1"/>
  </si>
  <si>
    <t>バッファメモリ</t>
  </si>
  <si>
    <t>バッファメモリ</t>
    <phoneticPr fontId="1"/>
  </si>
  <si>
    <t>元のデータ</t>
    <rPh sb="0" eb="1">
      <t>モト</t>
    </rPh>
    <phoneticPr fontId="1"/>
  </si>
  <si>
    <t>元データの空白が0になる。</t>
    <rPh sb="0" eb="1">
      <t>モト</t>
    </rPh>
    <rPh sb="5" eb="7">
      <t>クウハク</t>
    </rPh>
    <phoneticPr fontId="1"/>
  </si>
  <si>
    <t>変換1を貼り付けて、並び替えで</t>
    <rPh sb="0" eb="2">
      <t>ヘンカン</t>
    </rPh>
    <rPh sb="4" eb="5">
      <t>ハ</t>
    </rPh>
    <rPh sb="6" eb="7">
      <t>ツ</t>
    </rPh>
    <rPh sb="10" eb="11">
      <t>ナラ</t>
    </rPh>
    <rPh sb="12" eb="13">
      <t>カ</t>
    </rPh>
    <phoneticPr fontId="1"/>
  </si>
  <si>
    <t>ユーザー設定を指定して、ソートし、</t>
    <rPh sb="4" eb="6">
      <t>セッテイ</t>
    </rPh>
    <rPh sb="7" eb="9">
      <t>シテイ</t>
    </rPh>
    <phoneticPr fontId="1"/>
  </si>
  <si>
    <t>0を空白に置換する。</t>
    <rPh sb="2" eb="4">
      <t>クウハク</t>
    </rPh>
    <rPh sb="5" eb="7">
      <t>チカン</t>
    </rPh>
    <phoneticPr fontId="1"/>
  </si>
  <si>
    <t>並び順の設定は、</t>
    <rPh sb="0" eb="1">
      <t>ナラ</t>
    </rPh>
    <rPh sb="2" eb="3">
      <t>ジュン</t>
    </rPh>
    <rPh sb="4" eb="6">
      <t>セッテイ</t>
    </rPh>
    <phoneticPr fontId="1"/>
  </si>
  <si>
    <t>0､入出力信号､バッファメモリ､入力､出力､設定､</t>
    <rPh sb="2" eb="5">
      <t>ニュウシュツリョク</t>
    </rPh>
    <rPh sb="5" eb="7">
      <t>シンゴウ</t>
    </rPh>
    <rPh sb="16" eb="18">
      <t>ニュウリョク</t>
    </rPh>
    <rPh sb="19" eb="21">
      <t>シュツリョク</t>
    </rPh>
    <rPh sb="22" eb="24">
      <t>セッテイ</t>
    </rPh>
    <phoneticPr fontId="1"/>
  </si>
  <si>
    <t>モニタ､制御､リフレッシュ、ダイレクト</t>
    <rPh sb="4" eb="6">
      <t>セイギョ</t>
    </rPh>
    <phoneticPr fontId="1"/>
  </si>
  <si>
    <t>分離</t>
    <rPh sb="0" eb="2">
      <t>ブンリ</t>
    </rPh>
    <phoneticPr fontId="1"/>
  </si>
  <si>
    <t>結合</t>
    <rPh sb="0" eb="2">
      <t>ケツゴウ</t>
    </rPh>
    <phoneticPr fontId="1"/>
  </si>
  <si>
    <t>a,b,c,d,e</t>
    <phoneticPr fontId="1"/>
  </si>
  <si>
    <t>a</t>
  </si>
  <si>
    <t>b</t>
  </si>
  <si>
    <t>c</t>
  </si>
  <si>
    <t>d</t>
  </si>
  <si>
    <t>e</t>
  </si>
  <si>
    <t>yurturt::dfdffdfdf</t>
  </si>
  <si>
    <t>OSPDp OP::D123</t>
    <phoneticPr fontId="1"/>
  </si>
  <si>
    <t>dfdffdfdf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</si>
</sst>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0" borderId="2" xfId="0" applyNumberFormat="1" applyBorder="1">
      <alignment vertical="center"/>
    </xf>
    <xf numFmtId="0" fontId="0" fillId="0" borderId="16" xfId="0" applyNumberFormat="1" applyBorder="1">
      <alignment vertical="center"/>
    </xf>
    <xf numFmtId="0" fontId="0" fillId="0" borderId="17" xfId="0" applyNumberFormat="1" applyBorder="1">
      <alignment vertical="center"/>
    </xf>
    <xf numFmtId="0" fontId="0" fillId="0" borderId="18" xfId="0" applyNumberFormat="1" applyBorder="1">
      <alignment vertical="center"/>
    </xf>
    <xf numFmtId="0" fontId="0" fillId="0" borderId="19" xfId="0" applyNumberFormat="1" applyBorder="1">
      <alignment vertical="center"/>
    </xf>
    <xf numFmtId="0" fontId="0" fillId="0" borderId="20" xfId="0" applyNumberFormat="1" applyBorder="1">
      <alignment vertical="center"/>
    </xf>
    <xf numFmtId="0" fontId="0" fillId="0" borderId="21" xfId="0" applyNumberFormat="1" applyBorder="1">
      <alignment vertical="center"/>
    </xf>
    <xf numFmtId="0" fontId="0" fillId="0" borderId="22" xfId="0" applyNumberFormat="1" applyBorder="1">
      <alignment vertical="center"/>
    </xf>
    <xf numFmtId="0" fontId="0" fillId="0" borderId="23" xfId="0" applyNumberForma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2" fillId="0" borderId="0" xfId="0" applyFont="1" applyFill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85725</xdr:rowOff>
        </xdr:from>
        <xdr:to>
          <xdr:col>8</xdr:col>
          <xdr:colOff>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247650</xdr:colOff>
          <xdr:row>11</xdr:row>
          <xdr:rowOff>276225</xdr:rowOff>
        </xdr:to>
        <xdr:sp macro="" textlink="">
          <xdr:nvSpPr>
            <xdr:cNvPr id="2051" name="Spin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25"/>
  <sheetViews>
    <sheetView workbookViewId="0">
      <selection activeCell="B4" sqref="B4"/>
    </sheetView>
  </sheetViews>
  <sheetFormatPr defaultRowHeight="13.5" x14ac:dyDescent="0.15"/>
  <cols>
    <col min="1" max="1" width="3.625" customWidth="1"/>
    <col min="6" max="6" width="3.375" customWidth="1"/>
    <col min="7" max="7" width="3.75" customWidth="1"/>
    <col min="8" max="8" width="15.5" bestFit="1" customWidth="1"/>
    <col min="10" max="10" width="19" bestFit="1" customWidth="1"/>
  </cols>
  <sheetData>
    <row r="2" spans="2:10" ht="14.25" thickBot="1" x14ac:dyDescent="0.2"/>
    <row r="3" spans="2:10" ht="15" thickTop="1" thickBot="1" x14ac:dyDescent="0.2">
      <c r="B3" s="10"/>
      <c r="C3" s="11"/>
      <c r="D3" s="11"/>
      <c r="E3" s="12"/>
    </row>
    <row r="4" spans="2:10" x14ac:dyDescent="0.15">
      <c r="B4" s="7"/>
      <c r="C4" s="8"/>
      <c r="D4" s="8"/>
      <c r="E4" s="9"/>
    </row>
    <row r="5" spans="2:10" x14ac:dyDescent="0.15">
      <c r="B5" s="1"/>
      <c r="C5" s="2"/>
      <c r="D5" s="2"/>
      <c r="E5" s="3"/>
      <c r="H5" t="s">
        <v>0</v>
      </c>
      <c r="J5" t="str">
        <f>TRIM($H$5)</f>
        <v>this is a pen</v>
      </c>
    </row>
    <row r="6" spans="2:10" x14ac:dyDescent="0.15">
      <c r="B6" s="1"/>
      <c r="C6" s="2"/>
      <c r="D6" s="2"/>
      <c r="E6" s="3"/>
      <c r="J6" t="str">
        <f>PROPER($J$5)</f>
        <v>This Is A Pen</v>
      </c>
    </row>
    <row r="7" spans="2:10" x14ac:dyDescent="0.15">
      <c r="B7" s="1"/>
      <c r="C7" s="2"/>
      <c r="D7" s="2"/>
      <c r="E7" s="3"/>
      <c r="J7">
        <f>FIND("A",$J$6,1)</f>
        <v>9</v>
      </c>
    </row>
    <row r="8" spans="2:10" x14ac:dyDescent="0.15">
      <c r="B8" s="1"/>
      <c r="C8" s="2"/>
      <c r="D8" s="2"/>
      <c r="E8" s="3"/>
      <c r="J8" t="str">
        <f>REPLACE($J$6,9,1,"a")</f>
        <v>This Is a Pen</v>
      </c>
    </row>
    <row r="9" spans="2:10" x14ac:dyDescent="0.15">
      <c r="B9" s="1"/>
      <c r="C9" s="2"/>
      <c r="D9" s="2"/>
      <c r="E9" s="3"/>
      <c r="J9" t="str">
        <f>SUBSTITUTE($J$8," ","")</f>
        <v>ThisIsaPen</v>
      </c>
    </row>
    <row r="10" spans="2:10" x14ac:dyDescent="0.15">
      <c r="B10" s="1"/>
      <c r="C10" s="2"/>
      <c r="D10" s="2"/>
      <c r="E10" s="3"/>
      <c r="J10">
        <f>FIND("en",$J$6,1)</f>
        <v>12</v>
      </c>
    </row>
    <row r="11" spans="2:10" x14ac:dyDescent="0.15">
      <c r="B11" s="1"/>
      <c r="C11" s="2"/>
      <c r="D11" s="2"/>
      <c r="E11" s="3"/>
      <c r="J11" t="str">
        <f>REPLACE($J$6,9,1,"A Yellow")</f>
        <v>This Is A Yellow Pen</v>
      </c>
    </row>
    <row r="12" spans="2:10" x14ac:dyDescent="0.15">
      <c r="B12" s="1"/>
      <c r="C12" s="2"/>
      <c r="D12" s="2"/>
      <c r="E12" s="3"/>
      <c r="J12" t="e">
        <f>FIND("XX",$J$6,1)</f>
        <v>#VALUE!</v>
      </c>
    </row>
    <row r="13" spans="2:10" x14ac:dyDescent="0.15">
      <c r="B13" s="1"/>
      <c r="C13" s="2"/>
      <c r="D13" s="2"/>
      <c r="E13" s="3"/>
    </row>
    <row r="14" spans="2:10" x14ac:dyDescent="0.15">
      <c r="B14" s="1"/>
      <c r="C14" s="2"/>
      <c r="D14" s="2"/>
      <c r="E14" s="3"/>
    </row>
    <row r="15" spans="2:10" x14ac:dyDescent="0.15">
      <c r="B15" s="1"/>
      <c r="C15" s="2"/>
      <c r="D15" s="2"/>
      <c r="E15" s="3"/>
    </row>
    <row r="16" spans="2:10" x14ac:dyDescent="0.15">
      <c r="B16" s="1"/>
      <c r="C16" s="2"/>
      <c r="D16" s="2"/>
      <c r="E16" s="3"/>
    </row>
    <row r="17" spans="2:5" x14ac:dyDescent="0.15">
      <c r="B17" s="1"/>
      <c r="C17" s="2"/>
      <c r="D17" s="2"/>
      <c r="E17" s="3"/>
    </row>
    <row r="18" spans="2:5" x14ac:dyDescent="0.15">
      <c r="B18" s="1"/>
      <c r="C18" s="2"/>
      <c r="D18" s="2"/>
      <c r="E18" s="3"/>
    </row>
    <row r="19" spans="2:5" x14ac:dyDescent="0.15">
      <c r="B19" s="1"/>
      <c r="C19" s="2"/>
      <c r="D19" s="2"/>
      <c r="E19" s="3"/>
    </row>
    <row r="20" spans="2:5" x14ac:dyDescent="0.15">
      <c r="B20" s="1"/>
      <c r="C20" s="2"/>
      <c r="D20" s="2"/>
      <c r="E20" s="3"/>
    </row>
    <row r="21" spans="2:5" x14ac:dyDescent="0.15">
      <c r="B21" s="1"/>
      <c r="C21" s="2"/>
      <c r="D21" s="2"/>
      <c r="E21" s="3"/>
    </row>
    <row r="22" spans="2:5" x14ac:dyDescent="0.15">
      <c r="B22" s="1"/>
      <c r="C22" s="2"/>
      <c r="D22" s="2"/>
      <c r="E22" s="3"/>
    </row>
    <row r="23" spans="2:5" x14ac:dyDescent="0.15">
      <c r="B23" s="1"/>
      <c r="C23" s="2"/>
      <c r="D23" s="2"/>
      <c r="E23" s="3"/>
    </row>
    <row r="24" spans="2:5" ht="14.25" thickBot="1" x14ac:dyDescent="0.2">
      <c r="B24" s="4"/>
      <c r="C24" s="5"/>
      <c r="D24" s="5"/>
      <c r="E24" s="6"/>
    </row>
    <row r="25" spans="2:5" ht="14.25" thickTop="1" x14ac:dyDescent="0.15"/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5"/>
  <sheetViews>
    <sheetView workbookViewId="0">
      <selection activeCell="I6" sqref="I6"/>
    </sheetView>
  </sheetViews>
  <sheetFormatPr defaultRowHeight="13.5" x14ac:dyDescent="0.15"/>
  <cols>
    <col min="1" max="1" width="3.125" customWidth="1"/>
    <col min="2" max="2" width="15.625" customWidth="1"/>
    <col min="3" max="3" width="9.375" bestFit="1" customWidth="1"/>
    <col min="4" max="4" width="12.5" customWidth="1"/>
    <col min="6" max="6" width="10.25" customWidth="1"/>
    <col min="8" max="8" width="4.5" customWidth="1"/>
  </cols>
  <sheetData>
    <row r="1" spans="2:9" ht="14.25" thickBot="1" x14ac:dyDescent="0.2"/>
    <row r="2" spans="2:9" ht="14.25" thickBot="1" x14ac:dyDescent="0.2">
      <c r="B2" s="13" t="s">
        <v>1</v>
      </c>
      <c r="C2" s="14" t="s">
        <v>2</v>
      </c>
      <c r="D2" s="14" t="s">
        <v>3</v>
      </c>
      <c r="E2" s="14" t="s">
        <v>4</v>
      </c>
      <c r="F2" s="14" t="s">
        <v>5</v>
      </c>
      <c r="G2" s="15" t="s">
        <v>6</v>
      </c>
      <c r="I2" s="33" t="s">
        <v>20</v>
      </c>
    </row>
    <row r="3" spans="2:9" x14ac:dyDescent="0.15">
      <c r="B3" s="25">
        <v>1</v>
      </c>
      <c r="C3" s="26" t="s">
        <v>7</v>
      </c>
      <c r="D3" s="26" t="s">
        <v>18</v>
      </c>
      <c r="E3" s="26" t="s">
        <v>9</v>
      </c>
      <c r="F3" s="26"/>
      <c r="G3" s="27"/>
    </row>
    <row r="4" spans="2:9" x14ac:dyDescent="0.15">
      <c r="B4" s="28">
        <v>2</v>
      </c>
      <c r="C4" s="2" t="s">
        <v>7</v>
      </c>
      <c r="D4" s="2" t="s">
        <v>18</v>
      </c>
      <c r="E4" s="2" t="s">
        <v>11</v>
      </c>
      <c r="F4" s="2"/>
      <c r="G4" s="29"/>
    </row>
    <row r="5" spans="2:9" x14ac:dyDescent="0.15">
      <c r="B5" s="28">
        <v>3</v>
      </c>
      <c r="C5" s="2" t="s">
        <v>7</v>
      </c>
      <c r="D5" s="2" t="s">
        <v>18</v>
      </c>
      <c r="E5" s="2" t="s">
        <v>9</v>
      </c>
      <c r="F5" s="2" t="s">
        <v>15</v>
      </c>
      <c r="G5" s="29"/>
    </row>
    <row r="6" spans="2:9" x14ac:dyDescent="0.15">
      <c r="B6" s="28">
        <v>4</v>
      </c>
      <c r="C6" s="2" t="s">
        <v>7</v>
      </c>
      <c r="D6" s="2" t="s">
        <v>12</v>
      </c>
      <c r="E6" s="2" t="s">
        <v>13</v>
      </c>
      <c r="F6" s="2"/>
      <c r="G6" s="29"/>
    </row>
    <row r="7" spans="2:9" x14ac:dyDescent="0.15">
      <c r="B7" s="28">
        <v>5</v>
      </c>
      <c r="C7" s="2" t="s">
        <v>7</v>
      </c>
      <c r="D7" s="2" t="s">
        <v>12</v>
      </c>
      <c r="E7" s="2" t="s">
        <v>14</v>
      </c>
      <c r="F7" s="2"/>
      <c r="G7" s="29"/>
    </row>
    <row r="8" spans="2:9" x14ac:dyDescent="0.15">
      <c r="B8" s="28">
        <v>6</v>
      </c>
      <c r="C8" s="2" t="s">
        <v>8</v>
      </c>
      <c r="D8" s="2" t="s">
        <v>12</v>
      </c>
      <c r="E8" s="2"/>
      <c r="F8" s="2"/>
      <c r="G8" s="29"/>
    </row>
    <row r="9" spans="2:9" x14ac:dyDescent="0.15">
      <c r="B9" s="28">
        <v>7</v>
      </c>
      <c r="C9" s="2" t="s">
        <v>7</v>
      </c>
      <c r="D9" s="2" t="s">
        <v>19</v>
      </c>
      <c r="E9" s="2"/>
      <c r="F9" s="2"/>
      <c r="G9" s="29"/>
    </row>
    <row r="10" spans="2:9" x14ac:dyDescent="0.15">
      <c r="B10" s="28">
        <v>8</v>
      </c>
      <c r="C10" s="2" t="s">
        <v>7</v>
      </c>
      <c r="D10" s="2" t="s">
        <v>18</v>
      </c>
      <c r="E10" s="2" t="s">
        <v>10</v>
      </c>
      <c r="F10" s="2" t="s">
        <v>15</v>
      </c>
      <c r="G10" s="29"/>
    </row>
    <row r="11" spans="2:9" x14ac:dyDescent="0.15">
      <c r="B11" s="28">
        <v>9</v>
      </c>
      <c r="C11" s="2" t="s">
        <v>7</v>
      </c>
      <c r="D11" s="2" t="s">
        <v>18</v>
      </c>
      <c r="E11" s="2" t="s">
        <v>11</v>
      </c>
      <c r="F11" s="2" t="s">
        <v>15</v>
      </c>
      <c r="G11" s="29"/>
    </row>
    <row r="12" spans="2:9" x14ac:dyDescent="0.15">
      <c r="B12" s="28">
        <v>10</v>
      </c>
      <c r="C12" s="2" t="s">
        <v>7</v>
      </c>
      <c r="D12" s="2" t="s">
        <v>12</v>
      </c>
      <c r="E12" s="2" t="s">
        <v>13</v>
      </c>
      <c r="F12" s="2" t="s">
        <v>16</v>
      </c>
      <c r="G12" s="29"/>
    </row>
    <row r="13" spans="2:9" x14ac:dyDescent="0.15">
      <c r="B13" s="28">
        <v>11</v>
      </c>
      <c r="C13" s="2" t="s">
        <v>7</v>
      </c>
      <c r="D13" s="2" t="s">
        <v>12</v>
      </c>
      <c r="E13" s="2" t="s">
        <v>14</v>
      </c>
      <c r="F13" s="2" t="s">
        <v>17</v>
      </c>
      <c r="G13" s="29"/>
    </row>
    <row r="14" spans="2:9" x14ac:dyDescent="0.15">
      <c r="B14" s="28">
        <v>12</v>
      </c>
      <c r="C14" s="2" t="s">
        <v>7</v>
      </c>
      <c r="D14" s="2" t="s">
        <v>18</v>
      </c>
      <c r="E14" s="2" t="s">
        <v>10</v>
      </c>
      <c r="F14" s="2"/>
      <c r="G14" s="29"/>
    </row>
    <row r="15" spans="2:9" ht="14.25" thickBot="1" x14ac:dyDescent="0.2">
      <c r="B15" s="30">
        <v>13</v>
      </c>
      <c r="C15" s="31" t="s">
        <v>7</v>
      </c>
      <c r="D15" s="31" t="s">
        <v>18</v>
      </c>
      <c r="E15" s="31"/>
      <c r="F15" s="31" t="s">
        <v>17</v>
      </c>
      <c r="G15" s="32"/>
    </row>
  </sheetData>
  <sortState ref="B3:G15">
    <sortCondition ref="B3:B15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15"/>
  <sheetViews>
    <sheetView workbookViewId="0">
      <selection activeCell="J10" sqref="J10"/>
    </sheetView>
  </sheetViews>
  <sheetFormatPr defaultRowHeight="13.5" x14ac:dyDescent="0.15"/>
  <cols>
    <col min="1" max="1" width="3.125" customWidth="1"/>
    <col min="2" max="2" width="15.625" customWidth="1"/>
    <col min="3" max="3" width="9.375" bestFit="1" customWidth="1"/>
    <col min="4" max="4" width="12.5" customWidth="1"/>
    <col min="6" max="6" width="10.25" customWidth="1"/>
    <col min="8" max="8" width="4.75" customWidth="1"/>
  </cols>
  <sheetData>
    <row r="1" spans="2:9" ht="14.25" thickBot="1" x14ac:dyDescent="0.2"/>
    <row r="2" spans="2:9" ht="14.25" thickBot="1" x14ac:dyDescent="0.2">
      <c r="B2" s="13" t="s">
        <v>1</v>
      </c>
      <c r="C2" s="14" t="s">
        <v>2</v>
      </c>
      <c r="D2" s="14" t="s">
        <v>3</v>
      </c>
      <c r="E2" s="14" t="s">
        <v>4</v>
      </c>
      <c r="F2" s="14" t="s">
        <v>5</v>
      </c>
      <c r="G2" s="15" t="s">
        <v>6</v>
      </c>
    </row>
    <row r="3" spans="2:9" x14ac:dyDescent="0.15">
      <c r="B3" s="17">
        <f>入力1!B3</f>
        <v>1</v>
      </c>
      <c r="C3" s="18" t="str">
        <f>入力1!C3</f>
        <v>LD60DA</v>
      </c>
      <c r="D3" s="18" t="str">
        <f>入力1!D3</f>
        <v>バッファメモリ</v>
      </c>
      <c r="E3" s="18" t="str">
        <f>入力1!E3</f>
        <v>設定</v>
      </c>
      <c r="F3" s="18">
        <f>入力1!F3</f>
        <v>0</v>
      </c>
      <c r="G3" s="19">
        <f>入力1!G3</f>
        <v>0</v>
      </c>
      <c r="I3" s="34" t="s">
        <v>21</v>
      </c>
    </row>
    <row r="4" spans="2:9" x14ac:dyDescent="0.15">
      <c r="B4" s="20">
        <f>入力1!B4</f>
        <v>2</v>
      </c>
      <c r="C4" s="16" t="str">
        <f>入力1!C4</f>
        <v>LD60DA</v>
      </c>
      <c r="D4" s="16" t="str">
        <f>入力1!D4</f>
        <v>バッファメモリ</v>
      </c>
      <c r="E4" s="16" t="str">
        <f>入力1!E4</f>
        <v>制御</v>
      </c>
      <c r="F4" s="16">
        <f>入力1!F4</f>
        <v>0</v>
      </c>
      <c r="G4" s="21">
        <f>入力1!G4</f>
        <v>0</v>
      </c>
    </row>
    <row r="5" spans="2:9" x14ac:dyDescent="0.15">
      <c r="B5" s="20">
        <f>入力1!B5</f>
        <v>3</v>
      </c>
      <c r="C5" s="16" t="str">
        <f>入力1!C5</f>
        <v>LD60DA</v>
      </c>
      <c r="D5" s="16" t="str">
        <f>入力1!D5</f>
        <v>バッファメモリ</v>
      </c>
      <c r="E5" s="16" t="str">
        <f>入力1!E5</f>
        <v>設定</v>
      </c>
      <c r="F5" s="16" t="str">
        <f>入力1!F5</f>
        <v>ダイレクト</v>
      </c>
      <c r="G5" s="21">
        <f>入力1!G5</f>
        <v>0</v>
      </c>
    </row>
    <row r="6" spans="2:9" x14ac:dyDescent="0.15">
      <c r="B6" s="20">
        <f>入力1!B6</f>
        <v>4</v>
      </c>
      <c r="C6" s="16" t="str">
        <f>入力1!C6</f>
        <v>LD60DA</v>
      </c>
      <c r="D6" s="16" t="str">
        <f>入力1!D6</f>
        <v>入出力信号</v>
      </c>
      <c r="E6" s="16" t="str">
        <f>入力1!E6</f>
        <v>入力</v>
      </c>
      <c r="F6" s="16">
        <f>入力1!F6</f>
        <v>0</v>
      </c>
      <c r="G6" s="21">
        <f>入力1!G6</f>
        <v>0</v>
      </c>
    </row>
    <row r="7" spans="2:9" x14ac:dyDescent="0.15">
      <c r="B7" s="20">
        <f>入力1!B7</f>
        <v>5</v>
      </c>
      <c r="C7" s="16" t="str">
        <f>入力1!C7</f>
        <v>LD60DA</v>
      </c>
      <c r="D7" s="16" t="str">
        <f>入力1!D7</f>
        <v>入出力信号</v>
      </c>
      <c r="E7" s="16" t="str">
        <f>入力1!E7</f>
        <v>出力</v>
      </c>
      <c r="F7" s="16">
        <f>入力1!F7</f>
        <v>0</v>
      </c>
      <c r="G7" s="21">
        <f>入力1!G7</f>
        <v>0</v>
      </c>
    </row>
    <row r="8" spans="2:9" x14ac:dyDescent="0.15">
      <c r="B8" s="20">
        <f>入力1!B8</f>
        <v>6</v>
      </c>
      <c r="C8" s="16" t="str">
        <f>入力1!C8</f>
        <v>LD60DA</v>
      </c>
      <c r="D8" s="16" t="str">
        <f>入力1!D8</f>
        <v>入出力信号</v>
      </c>
      <c r="E8" s="16">
        <f>入力1!E8</f>
        <v>0</v>
      </c>
      <c r="F8" s="16">
        <f>入力1!F8</f>
        <v>0</v>
      </c>
      <c r="G8" s="21">
        <f>入力1!G8</f>
        <v>0</v>
      </c>
    </row>
    <row r="9" spans="2:9" x14ac:dyDescent="0.15">
      <c r="B9" s="20">
        <f>入力1!B9</f>
        <v>7</v>
      </c>
      <c r="C9" s="16" t="str">
        <f>入力1!C9</f>
        <v>LD60DA</v>
      </c>
      <c r="D9" s="16" t="str">
        <f>入力1!D9</f>
        <v>バッファメモリ</v>
      </c>
      <c r="E9" s="16">
        <f>入力1!E9</f>
        <v>0</v>
      </c>
      <c r="F9" s="16">
        <f>入力1!F9</f>
        <v>0</v>
      </c>
      <c r="G9" s="21">
        <f>入力1!G9</f>
        <v>0</v>
      </c>
    </row>
    <row r="10" spans="2:9" x14ac:dyDescent="0.15">
      <c r="B10" s="20">
        <f>入力1!B10</f>
        <v>8</v>
      </c>
      <c r="C10" s="16" t="str">
        <f>入力1!C10</f>
        <v>LD60DA</v>
      </c>
      <c r="D10" s="16" t="str">
        <f>入力1!D10</f>
        <v>バッファメモリ</v>
      </c>
      <c r="E10" s="16" t="str">
        <f>入力1!E10</f>
        <v>モニタ</v>
      </c>
      <c r="F10" s="16" t="str">
        <f>入力1!F10</f>
        <v>ダイレクト</v>
      </c>
      <c r="G10" s="21">
        <f>入力1!G10</f>
        <v>0</v>
      </c>
    </row>
    <row r="11" spans="2:9" x14ac:dyDescent="0.15">
      <c r="B11" s="20">
        <f>入力1!B11</f>
        <v>9</v>
      </c>
      <c r="C11" s="16" t="str">
        <f>入力1!C11</f>
        <v>LD60DA</v>
      </c>
      <c r="D11" s="16" t="str">
        <f>入力1!D11</f>
        <v>バッファメモリ</v>
      </c>
      <c r="E11" s="16" t="str">
        <f>入力1!E11</f>
        <v>制御</v>
      </c>
      <c r="F11" s="16" t="str">
        <f>入力1!F11</f>
        <v>ダイレクト</v>
      </c>
      <c r="G11" s="21">
        <f>入力1!G11</f>
        <v>0</v>
      </c>
    </row>
    <row r="12" spans="2:9" x14ac:dyDescent="0.15">
      <c r="B12" s="20">
        <f>入力1!B12</f>
        <v>10</v>
      </c>
      <c r="C12" s="16" t="str">
        <f>入力1!C12</f>
        <v>LD60DA</v>
      </c>
      <c r="D12" s="16" t="str">
        <f>入力1!D12</f>
        <v>入出力信号</v>
      </c>
      <c r="E12" s="16" t="str">
        <f>入力1!E12</f>
        <v>入力</v>
      </c>
      <c r="F12" s="16" t="str">
        <f>入力1!F12</f>
        <v>ダイレクト</v>
      </c>
      <c r="G12" s="21">
        <f>入力1!G12</f>
        <v>0</v>
      </c>
    </row>
    <row r="13" spans="2:9" x14ac:dyDescent="0.15">
      <c r="B13" s="20">
        <f>入力1!B13</f>
        <v>11</v>
      </c>
      <c r="C13" s="16" t="str">
        <f>入力1!C13</f>
        <v>LD60DA</v>
      </c>
      <c r="D13" s="16" t="str">
        <f>入力1!D13</f>
        <v>入出力信号</v>
      </c>
      <c r="E13" s="16" t="str">
        <f>入力1!E13</f>
        <v>出力</v>
      </c>
      <c r="F13" s="16" t="str">
        <f>入力1!F13</f>
        <v>ダイレクト</v>
      </c>
      <c r="G13" s="21">
        <f>入力1!G13</f>
        <v>0</v>
      </c>
    </row>
    <row r="14" spans="2:9" x14ac:dyDescent="0.15">
      <c r="B14" s="20">
        <f>入力1!B14</f>
        <v>12</v>
      </c>
      <c r="C14" s="16" t="str">
        <f>入力1!C14</f>
        <v>LD60DA</v>
      </c>
      <c r="D14" s="16" t="str">
        <f>入力1!D14</f>
        <v>バッファメモリ</v>
      </c>
      <c r="E14" s="16" t="str">
        <f>入力1!E14</f>
        <v>モニタ</v>
      </c>
      <c r="F14" s="16">
        <f>入力1!F14</f>
        <v>0</v>
      </c>
      <c r="G14" s="21">
        <f>入力1!G14</f>
        <v>0</v>
      </c>
    </row>
    <row r="15" spans="2:9" ht="14.25" thickBot="1" x14ac:dyDescent="0.2">
      <c r="B15" s="22">
        <f>入力1!B15</f>
        <v>13</v>
      </c>
      <c r="C15" s="23" t="str">
        <f>入力1!C15</f>
        <v>LD60DA</v>
      </c>
      <c r="D15" s="23" t="str">
        <f>入力1!D15</f>
        <v>バッファメモリ</v>
      </c>
      <c r="E15" s="23">
        <f>入力1!E15</f>
        <v>0</v>
      </c>
      <c r="F15" s="23" t="str">
        <f>入力1!F15</f>
        <v>ダイレクト</v>
      </c>
      <c r="G15" s="24">
        <f>入力1!G15</f>
        <v>0</v>
      </c>
    </row>
  </sheetData>
  <sortState ref="B4:G15">
    <sortCondition ref="D4:D15"/>
    <sortCondition ref="E4:E15" customList="入力,出力,設定,モニタ,制御"/>
    <sortCondition ref="F4:F15"/>
  </sortState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5"/>
  <sheetViews>
    <sheetView workbookViewId="0">
      <selection activeCell="I15" sqref="I15"/>
    </sheetView>
  </sheetViews>
  <sheetFormatPr defaultRowHeight="13.5" x14ac:dyDescent="0.15"/>
  <cols>
    <col min="1" max="1" width="3.125" customWidth="1"/>
    <col min="2" max="2" width="15.625" customWidth="1"/>
    <col min="3" max="3" width="9.375" bestFit="1" customWidth="1"/>
    <col min="4" max="4" width="12.5" customWidth="1"/>
    <col min="6" max="6" width="10.25" customWidth="1"/>
    <col min="8" max="8" width="4.75" customWidth="1"/>
    <col min="9" max="9" width="21.125" customWidth="1"/>
  </cols>
  <sheetData>
    <row r="1" spans="2:9" ht="14.25" thickBot="1" x14ac:dyDescent="0.2"/>
    <row r="2" spans="2:9" ht="14.25" thickBot="1" x14ac:dyDescent="0.2">
      <c r="B2" s="13" t="s">
        <v>1</v>
      </c>
      <c r="C2" s="14" t="s">
        <v>2</v>
      </c>
      <c r="D2" s="14" t="s">
        <v>3</v>
      </c>
      <c r="E2" s="14" t="s">
        <v>4</v>
      </c>
      <c r="F2" s="14" t="s">
        <v>5</v>
      </c>
      <c r="G2" s="15" t="s">
        <v>6</v>
      </c>
    </row>
    <row r="3" spans="2:9" x14ac:dyDescent="0.15">
      <c r="B3" s="17">
        <f>入力1!B8</f>
        <v>6</v>
      </c>
      <c r="C3" s="18" t="str">
        <f>入力1!C8</f>
        <v>LD60DA</v>
      </c>
      <c r="D3" s="18" t="str">
        <f>入力1!D8</f>
        <v>入出力信号</v>
      </c>
      <c r="E3" s="18">
        <f>入力1!E8</f>
        <v>0</v>
      </c>
      <c r="F3" s="18">
        <f>入力1!F8</f>
        <v>0</v>
      </c>
      <c r="G3" s="19">
        <f>入力1!G8</f>
        <v>0</v>
      </c>
      <c r="I3" s="34" t="s">
        <v>22</v>
      </c>
    </row>
    <row r="4" spans="2:9" x14ac:dyDescent="0.15">
      <c r="B4" s="20">
        <f>入力1!B6</f>
        <v>4</v>
      </c>
      <c r="C4" s="16" t="str">
        <f>入力1!C6</f>
        <v>LD60DA</v>
      </c>
      <c r="D4" s="16" t="str">
        <f>入力1!D6</f>
        <v>入出力信号</v>
      </c>
      <c r="E4" s="16" t="str">
        <f>入力1!E6</f>
        <v>入力</v>
      </c>
      <c r="F4" s="16">
        <f>入力1!F6</f>
        <v>0</v>
      </c>
      <c r="G4" s="21">
        <f>入力1!G6</f>
        <v>0</v>
      </c>
      <c r="I4" s="34" t="s">
        <v>23</v>
      </c>
    </row>
    <row r="5" spans="2:9" x14ac:dyDescent="0.15">
      <c r="B5" s="20">
        <f>入力1!B12</f>
        <v>10</v>
      </c>
      <c r="C5" s="16" t="str">
        <f>入力1!C12</f>
        <v>LD60DA</v>
      </c>
      <c r="D5" s="16" t="str">
        <f>入力1!D12</f>
        <v>入出力信号</v>
      </c>
      <c r="E5" s="16" t="str">
        <f>入力1!E12</f>
        <v>入力</v>
      </c>
      <c r="F5" s="16" t="str">
        <f>入力1!F12</f>
        <v>ダイレクト</v>
      </c>
      <c r="G5" s="21">
        <f>入力1!G12</f>
        <v>0</v>
      </c>
      <c r="I5" s="34" t="s">
        <v>24</v>
      </c>
    </row>
    <row r="6" spans="2:9" x14ac:dyDescent="0.15">
      <c r="B6" s="20">
        <f>入力1!B7</f>
        <v>5</v>
      </c>
      <c r="C6" s="16" t="str">
        <f>入力1!C7</f>
        <v>LD60DA</v>
      </c>
      <c r="D6" s="16" t="str">
        <f>入力1!D7</f>
        <v>入出力信号</v>
      </c>
      <c r="E6" s="16" t="str">
        <f>入力1!E7</f>
        <v>出力</v>
      </c>
      <c r="F6" s="16">
        <f>入力1!F7</f>
        <v>0</v>
      </c>
      <c r="G6" s="21">
        <f>入力1!G7</f>
        <v>0</v>
      </c>
      <c r="I6" s="34"/>
    </row>
    <row r="7" spans="2:9" x14ac:dyDescent="0.15">
      <c r="B7" s="20">
        <f>入力1!B13</f>
        <v>11</v>
      </c>
      <c r="C7" s="16" t="str">
        <f>入力1!C13</f>
        <v>LD60DA</v>
      </c>
      <c r="D7" s="16" t="str">
        <f>入力1!D13</f>
        <v>入出力信号</v>
      </c>
      <c r="E7" s="16" t="str">
        <f>入力1!E13</f>
        <v>出力</v>
      </c>
      <c r="F7" s="16" t="str">
        <f>入力1!F13</f>
        <v>ダイレクト</v>
      </c>
      <c r="G7" s="21">
        <f>入力1!G13</f>
        <v>0</v>
      </c>
      <c r="I7" s="34" t="s">
        <v>25</v>
      </c>
    </row>
    <row r="8" spans="2:9" x14ac:dyDescent="0.15">
      <c r="B8" s="20">
        <f>入力1!B9</f>
        <v>7</v>
      </c>
      <c r="C8" s="16" t="str">
        <f>入力1!C9</f>
        <v>LD60DA</v>
      </c>
      <c r="D8" s="16" t="str">
        <f>入力1!D9</f>
        <v>バッファメモリ</v>
      </c>
      <c r="E8" s="16">
        <f>入力1!E9</f>
        <v>0</v>
      </c>
      <c r="F8" s="16">
        <f>入力1!F9</f>
        <v>0</v>
      </c>
      <c r="G8" s="21">
        <f>入力1!G9</f>
        <v>0</v>
      </c>
      <c r="I8" s="34" t="s">
        <v>26</v>
      </c>
    </row>
    <row r="9" spans="2:9" x14ac:dyDescent="0.15">
      <c r="B9" s="20">
        <f>入力1!B15</f>
        <v>13</v>
      </c>
      <c r="C9" s="16" t="str">
        <f>入力1!C15</f>
        <v>LD60DA</v>
      </c>
      <c r="D9" s="16" t="str">
        <f>入力1!D15</f>
        <v>バッファメモリ</v>
      </c>
      <c r="E9" s="16">
        <f>入力1!E15</f>
        <v>0</v>
      </c>
      <c r="F9" s="16" t="str">
        <f>入力1!F15</f>
        <v>ダイレクト</v>
      </c>
      <c r="G9" s="21">
        <f>入力1!G15</f>
        <v>0</v>
      </c>
      <c r="I9" s="34" t="s">
        <v>27</v>
      </c>
    </row>
    <row r="10" spans="2:9" x14ac:dyDescent="0.15">
      <c r="B10" s="20">
        <f>入力1!B3</f>
        <v>1</v>
      </c>
      <c r="C10" s="16" t="str">
        <f>入力1!C3</f>
        <v>LD60DA</v>
      </c>
      <c r="D10" s="16" t="str">
        <f>入力1!D3</f>
        <v>バッファメモリ</v>
      </c>
      <c r="E10" s="16" t="str">
        <f>入力1!E3</f>
        <v>設定</v>
      </c>
      <c r="F10" s="16">
        <f>入力1!F3</f>
        <v>0</v>
      </c>
      <c r="G10" s="21">
        <f>入力1!G3</f>
        <v>0</v>
      </c>
    </row>
    <row r="11" spans="2:9" x14ac:dyDescent="0.15">
      <c r="B11" s="20">
        <f>入力1!B5</f>
        <v>3</v>
      </c>
      <c r="C11" s="16" t="str">
        <f>入力1!C5</f>
        <v>LD60DA</v>
      </c>
      <c r="D11" s="16" t="str">
        <f>入力1!D5</f>
        <v>バッファメモリ</v>
      </c>
      <c r="E11" s="16" t="str">
        <f>入力1!E5</f>
        <v>設定</v>
      </c>
      <c r="F11" s="16" t="str">
        <f>入力1!F5</f>
        <v>ダイレクト</v>
      </c>
      <c r="G11" s="21">
        <f>入力1!G5</f>
        <v>0</v>
      </c>
    </row>
    <row r="12" spans="2:9" x14ac:dyDescent="0.15">
      <c r="B12" s="20">
        <f>入力1!B14</f>
        <v>12</v>
      </c>
      <c r="C12" s="16" t="str">
        <f>入力1!C14</f>
        <v>LD60DA</v>
      </c>
      <c r="D12" s="16" t="str">
        <f>入力1!D14</f>
        <v>バッファメモリ</v>
      </c>
      <c r="E12" s="16" t="str">
        <f>入力1!E14</f>
        <v>モニタ</v>
      </c>
      <c r="F12" s="16">
        <f>入力1!F14</f>
        <v>0</v>
      </c>
      <c r="G12" s="21">
        <f>入力1!G14</f>
        <v>0</v>
      </c>
    </row>
    <row r="13" spans="2:9" x14ac:dyDescent="0.15">
      <c r="B13" s="20">
        <f>入力1!B10</f>
        <v>8</v>
      </c>
      <c r="C13" s="16" t="str">
        <f>入力1!C10</f>
        <v>LD60DA</v>
      </c>
      <c r="D13" s="16" t="str">
        <f>入力1!D10</f>
        <v>バッファメモリ</v>
      </c>
      <c r="E13" s="16" t="str">
        <f>入力1!E10</f>
        <v>モニタ</v>
      </c>
      <c r="F13" s="16" t="str">
        <f>入力1!F10</f>
        <v>ダイレクト</v>
      </c>
      <c r="G13" s="21">
        <f>入力1!G10</f>
        <v>0</v>
      </c>
    </row>
    <row r="14" spans="2:9" x14ac:dyDescent="0.15">
      <c r="B14" s="20">
        <f>入力1!B4</f>
        <v>2</v>
      </c>
      <c r="C14" s="16" t="str">
        <f>入力1!C4</f>
        <v>LD60DA</v>
      </c>
      <c r="D14" s="16" t="str">
        <f>入力1!D4</f>
        <v>バッファメモリ</v>
      </c>
      <c r="E14" s="16" t="str">
        <f>入力1!E4</f>
        <v>制御</v>
      </c>
      <c r="F14" s="16">
        <f>入力1!F4</f>
        <v>0</v>
      </c>
      <c r="G14" s="21">
        <f>入力1!G4</f>
        <v>0</v>
      </c>
    </row>
    <row r="15" spans="2:9" ht="14.25" thickBot="1" x14ac:dyDescent="0.2">
      <c r="B15" s="22">
        <f>入力1!B11</f>
        <v>9</v>
      </c>
      <c r="C15" s="23" t="str">
        <f>入力1!C11</f>
        <v>LD60DA</v>
      </c>
      <c r="D15" s="23" t="str">
        <f>入力1!D11</f>
        <v>バッファメモリ</v>
      </c>
      <c r="E15" s="23" t="str">
        <f>入力1!E11</f>
        <v>制御</v>
      </c>
      <c r="F15" s="23" t="str">
        <f>入力1!F11</f>
        <v>ダイレクト</v>
      </c>
      <c r="G15" s="24">
        <f>入力1!G11</f>
        <v>0</v>
      </c>
    </row>
  </sheetData>
  <sortState ref="B3:G15">
    <sortCondition ref="C3:C15"/>
    <sortCondition ref="D3:D15" customList="0,入出力信号,バッファメモリ,入力,出力,設定,モニタ,制御"/>
    <sortCondition ref="E3:E15" customList="0,入出力信号,バッファメモリ,入力,出力,設定,モニタ,制御"/>
    <sortCondition ref="F3:F15" customList="0,入出力信号,バッファメモリ,入力,出力,設定,モニタ,制御"/>
  </sortState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L8"/>
  <sheetViews>
    <sheetView workbookViewId="0">
      <selection activeCell="I9" sqref="I9"/>
    </sheetView>
  </sheetViews>
  <sheetFormatPr defaultRowHeight="36" customHeight="1" x14ac:dyDescent="0.15"/>
  <cols>
    <col min="1" max="16" width="6.625" customWidth="1"/>
  </cols>
  <sheetData>
    <row r="2" spans="2:12" ht="13.5" x14ac:dyDescent="0.15">
      <c r="B2">
        <v>0</v>
      </c>
      <c r="C2">
        <v>1</v>
      </c>
      <c r="D2">
        <v>2</v>
      </c>
      <c r="E2">
        <v>3</v>
      </c>
      <c r="F2">
        <v>4</v>
      </c>
      <c r="G2">
        <v>100</v>
      </c>
      <c r="H2">
        <v>6</v>
      </c>
      <c r="I2">
        <v>7</v>
      </c>
      <c r="J2">
        <v>8</v>
      </c>
      <c r="K2">
        <v>9</v>
      </c>
      <c r="L2">
        <v>10</v>
      </c>
    </row>
    <row r="3" spans="2:12" ht="13.5" x14ac:dyDescent="0.15">
      <c r="B3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200</v>
      </c>
      <c r="J3">
        <v>8</v>
      </c>
      <c r="K3">
        <v>9</v>
      </c>
      <c r="L3">
        <v>10</v>
      </c>
    </row>
    <row r="4" spans="2:12" ht="13.5" x14ac:dyDescent="0.15">
      <c r="B4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300</v>
      </c>
    </row>
    <row r="5" spans="2:12" ht="13.5" x14ac:dyDescent="0.15">
      <c r="B5">
        <v>400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</row>
    <row r="6" spans="2:12" ht="13.5" x14ac:dyDescent="0.15">
      <c r="B6">
        <v>0</v>
      </c>
      <c r="C6">
        <v>1</v>
      </c>
      <c r="D6">
        <v>2</v>
      </c>
      <c r="E6">
        <v>3</v>
      </c>
      <c r="F6">
        <v>4</v>
      </c>
      <c r="G6">
        <v>5</v>
      </c>
      <c r="H6">
        <v>6</v>
      </c>
      <c r="I6">
        <v>7</v>
      </c>
      <c r="J6">
        <v>8</v>
      </c>
      <c r="K6">
        <v>500</v>
      </c>
      <c r="L6">
        <v>10</v>
      </c>
    </row>
    <row r="7" spans="2:12" ht="13.5" x14ac:dyDescent="0.15">
      <c r="B7">
        <v>0</v>
      </c>
      <c r="C7">
        <v>1</v>
      </c>
      <c r="D7">
        <v>2</v>
      </c>
      <c r="E7">
        <v>3</v>
      </c>
      <c r="F7">
        <v>4</v>
      </c>
      <c r="G7">
        <v>5</v>
      </c>
      <c r="H7">
        <v>6</v>
      </c>
      <c r="I7">
        <v>600</v>
      </c>
      <c r="J7">
        <v>8</v>
      </c>
      <c r="K7">
        <v>9</v>
      </c>
      <c r="L7">
        <v>10</v>
      </c>
    </row>
    <row r="8" spans="2:12" ht="13.5" x14ac:dyDescent="0.15">
      <c r="B8">
        <v>0</v>
      </c>
      <c r="C8">
        <v>1</v>
      </c>
      <c r="D8">
        <v>2</v>
      </c>
      <c r="E8">
        <v>700</v>
      </c>
      <c r="F8">
        <v>4</v>
      </c>
      <c r="G8">
        <v>5</v>
      </c>
      <c r="H8">
        <v>6</v>
      </c>
      <c r="I8">
        <v>7</v>
      </c>
      <c r="J8">
        <v>8</v>
      </c>
      <c r="K8">
        <v>9</v>
      </c>
      <c r="L8">
        <v>10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dfl">
                <anchor moveWithCells="1" sizeWithCells="1">
                  <from>
                    <xdr:col>7</xdr:col>
                    <xdr:colOff>57150</xdr:colOff>
                    <xdr:row>0</xdr:row>
                    <xdr:rowOff>85725</xdr:rowOff>
                  </from>
                  <to>
                    <xdr:col>8</xdr:col>
                    <xdr:colOff>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3:H19"/>
  <sheetViews>
    <sheetView workbookViewId="0">
      <selection activeCell="D30" sqref="D30"/>
    </sheetView>
  </sheetViews>
  <sheetFormatPr defaultRowHeight="13.5" x14ac:dyDescent="0.15"/>
  <cols>
    <col min="4" max="4" width="43.25" customWidth="1"/>
    <col min="8" max="8" width="47.625" customWidth="1"/>
  </cols>
  <sheetData>
    <row r="3" spans="3:8" x14ac:dyDescent="0.15">
      <c r="C3" s="2" t="s">
        <v>13</v>
      </c>
      <c r="D3" s="2" t="s">
        <v>30</v>
      </c>
      <c r="G3" s="2" t="s">
        <v>29</v>
      </c>
      <c r="H3" s="2"/>
    </row>
    <row r="5" spans="3:8" x14ac:dyDescent="0.15">
      <c r="C5" s="2" t="s">
        <v>28</v>
      </c>
      <c r="D5" s="2" t="s">
        <v>31</v>
      </c>
      <c r="G5" s="2" t="s">
        <v>13</v>
      </c>
      <c r="H5" s="2" t="str">
        <f>D5</f>
        <v>a</v>
      </c>
    </row>
    <row r="6" spans="3:8" x14ac:dyDescent="0.15">
      <c r="C6" s="2"/>
      <c r="D6" s="2" t="s">
        <v>32</v>
      </c>
      <c r="G6" s="2"/>
      <c r="H6" s="2" t="str">
        <f t="shared" ref="H6:H19" si="0">D6</f>
        <v>b</v>
      </c>
    </row>
    <row r="7" spans="3:8" x14ac:dyDescent="0.15">
      <c r="C7" s="2"/>
      <c r="D7" s="2" t="s">
        <v>33</v>
      </c>
      <c r="G7" s="2"/>
      <c r="H7" s="2" t="str">
        <f t="shared" si="0"/>
        <v>c</v>
      </c>
    </row>
    <row r="8" spans="3:8" x14ac:dyDescent="0.15">
      <c r="C8" s="2"/>
      <c r="D8" s="2" t="s">
        <v>34</v>
      </c>
      <c r="G8" s="2"/>
      <c r="H8" s="2" t="str">
        <f t="shared" si="0"/>
        <v>d</v>
      </c>
    </row>
    <row r="9" spans="3:8" x14ac:dyDescent="0.15">
      <c r="C9" s="2"/>
      <c r="D9" s="2" t="s">
        <v>35</v>
      </c>
      <c r="G9" s="2"/>
      <c r="H9" s="2" t="str">
        <f t="shared" si="0"/>
        <v>e</v>
      </c>
    </row>
    <row r="10" spans="3:8" x14ac:dyDescent="0.15">
      <c r="C10" s="2"/>
      <c r="D10" s="2"/>
      <c r="G10" s="2"/>
      <c r="H10" s="2">
        <f t="shared" si="0"/>
        <v>0</v>
      </c>
    </row>
    <row r="11" spans="3:8" x14ac:dyDescent="0.15">
      <c r="C11" s="2"/>
      <c r="D11" s="2"/>
      <c r="G11" s="2"/>
      <c r="H11" s="2">
        <f t="shared" si="0"/>
        <v>0</v>
      </c>
    </row>
    <row r="12" spans="3:8" x14ac:dyDescent="0.15">
      <c r="C12" s="2"/>
      <c r="D12" s="2"/>
      <c r="G12" s="2"/>
      <c r="H12" s="2">
        <f t="shared" si="0"/>
        <v>0</v>
      </c>
    </row>
    <row r="13" spans="3:8" x14ac:dyDescent="0.15">
      <c r="C13" s="2"/>
      <c r="D13" s="2"/>
      <c r="G13" s="2"/>
      <c r="H13" s="2">
        <f t="shared" si="0"/>
        <v>0</v>
      </c>
    </row>
    <row r="14" spans="3:8" x14ac:dyDescent="0.15">
      <c r="C14" s="2"/>
      <c r="D14" s="2"/>
      <c r="G14" s="2"/>
      <c r="H14" s="2">
        <f t="shared" si="0"/>
        <v>0</v>
      </c>
    </row>
    <row r="15" spans="3:8" x14ac:dyDescent="0.15">
      <c r="C15" s="2"/>
      <c r="D15" s="2"/>
      <c r="G15" s="2"/>
      <c r="H15" s="2">
        <f t="shared" si="0"/>
        <v>0</v>
      </c>
    </row>
    <row r="16" spans="3:8" x14ac:dyDescent="0.15">
      <c r="C16" s="2"/>
      <c r="D16" s="2"/>
      <c r="G16" s="2"/>
      <c r="H16" s="2">
        <f t="shared" si="0"/>
        <v>0</v>
      </c>
    </row>
    <row r="17" spans="3:8" x14ac:dyDescent="0.15">
      <c r="C17" s="2"/>
      <c r="D17" s="2"/>
      <c r="G17" s="2"/>
      <c r="H17" s="2">
        <f t="shared" si="0"/>
        <v>0</v>
      </c>
    </row>
    <row r="18" spans="3:8" x14ac:dyDescent="0.15">
      <c r="C18" s="2"/>
      <c r="D18" s="2"/>
      <c r="G18" s="2"/>
      <c r="H18" s="2">
        <f t="shared" si="0"/>
        <v>0</v>
      </c>
    </row>
    <row r="19" spans="3:8" x14ac:dyDescent="0.15">
      <c r="C19" s="2"/>
      <c r="D19" s="2"/>
      <c r="G19" s="2"/>
      <c r="H19" s="2">
        <f t="shared" si="0"/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E13"/>
  <sheetViews>
    <sheetView tabSelected="1" workbookViewId="0">
      <selection activeCell="E8" sqref="E8"/>
    </sheetView>
  </sheetViews>
  <sheetFormatPr defaultRowHeight="13.5" x14ac:dyDescent="0.15"/>
  <cols>
    <col min="5" max="5" width="20" customWidth="1"/>
    <col min="6" max="6" width="2.875" customWidth="1"/>
    <col min="7" max="7" width="26.375" customWidth="1"/>
  </cols>
  <sheetData>
    <row r="3" spans="2:5" x14ac:dyDescent="0.15">
      <c r="B3" t="s">
        <v>36</v>
      </c>
      <c r="E3" t="s">
        <v>38</v>
      </c>
    </row>
    <row r="5" spans="2:5" x14ac:dyDescent="0.15">
      <c r="B5" t="s">
        <v>37</v>
      </c>
      <c r="E5" t="s">
        <v>37</v>
      </c>
    </row>
    <row r="12" spans="2:5" ht="24" customHeight="1" x14ac:dyDescent="0.15">
      <c r="B12">
        <v>25.030000000000005</v>
      </c>
    </row>
    <row r="13" spans="2:5" ht="30.75" customHeight="1" x14ac:dyDescent="0.15">
      <c r="B13">
        <v>2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SpinButton1">
          <controlPr defaultSize="0" autoLine="0" r:id="rId4">
            <anchor moveWithCells="1">
              <from>
                <xdr:col>2</xdr:col>
                <xdr:colOff>9525</xdr:colOff>
                <xdr:row>11</xdr:row>
                <xdr:rowOff>19050</xdr:rowOff>
              </from>
              <to>
                <xdr:col>2</xdr:col>
                <xdr:colOff>247650</xdr:colOff>
                <xdr:row>11</xdr:row>
                <xdr:rowOff>276225</xdr:rowOff>
              </to>
            </anchor>
          </controlPr>
        </control>
      </mc:Choice>
      <mc:Fallback>
        <control shapeId="2051" r:id="rId3" name="Spin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文字列ワークシート関数1</vt:lpstr>
      <vt:lpstr>入力1</vt:lpstr>
      <vt:lpstr>変換1</vt:lpstr>
      <vt:lpstr>出力1</vt:lpstr>
      <vt:lpstr>Sheet2</vt:lpstr>
      <vt:lpstr>Sheet1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Yoshiaki Nishimura</dc:creator>
  <cp:lastModifiedBy>Yoshiaki Nishimura</cp:lastModifiedBy>
  <dcterms:created xsi:type="dcterms:W3CDTF">2018-03-04T01:45:00Z</dcterms:created>
  <dcterms:modified xsi:type="dcterms:W3CDTF">2021-04-18T01:24:43Z</dcterms:modified>
</cp:coreProperties>
</file>